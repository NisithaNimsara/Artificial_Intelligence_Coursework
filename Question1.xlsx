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sitha Nimsara\Desktop\AI CW\"/>
    </mc:Choice>
  </mc:AlternateContent>
  <xr:revisionPtr revIDLastSave="0" documentId="13_ncr:1_{0BD8EF50-94EB-45B5-8E50-899FD876405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2" r:id="rId1"/>
  </sheets>
  <definedNames>
    <definedName name="Decision">#REF!</definedName>
    <definedName name="solver_adj" localSheetId="0" hidden="1">Sheet1!$B$10:$O$13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Sheet1!$B$10:$O$13</definedName>
    <definedName name="solver_lhs2" localSheetId="0" hidden="1">Sheet1!$B$14:$O$14</definedName>
    <definedName name="solver_lhs3" localSheetId="0" hidden="1">Sheet1!$G$16:$K$16</definedName>
    <definedName name="solver_lhs4" localSheetId="0" hidden="1">Sheet1!$L$17:$O$17</definedName>
    <definedName name="solver_lhs5" localSheetId="0" hidden="1">Sheet1!$P$10:$P$13</definedName>
    <definedName name="solver_lhs6" localSheetId="0" hidden="1">Sheet1!$P$10:$P$13</definedName>
    <definedName name="solver_lhs7" localSheetId="0" hidden="1">Sheet1!$P$14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Sheet1!$B$19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hs1" localSheetId="0" hidden="1">"binary"</definedName>
    <definedName name="solver_rhs2" localSheetId="0" hidden="1">1</definedName>
    <definedName name="solver_rhs3" localSheetId="0" hidden="1">1</definedName>
    <definedName name="solver_rhs4" localSheetId="0" hidden="1">1</definedName>
    <definedName name="solver_rhs5" localSheetId="0" hidden="1">5</definedName>
    <definedName name="solver_rhs6" localSheetId="0" hidden="1">2</definedName>
    <definedName name="solver_rhs7" localSheetId="0" hidden="1">14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G16" i="2"/>
  <c r="B14" i="2"/>
  <c r="H16" i="2"/>
  <c r="I16" i="2"/>
  <c r="J16" i="2"/>
  <c r="K16" i="2"/>
  <c r="M17" i="2"/>
  <c r="N17" i="2"/>
  <c r="O17" i="2"/>
  <c r="B19" i="2"/>
  <c r="O14" i="2"/>
  <c r="C14" i="2"/>
  <c r="D14" i="2"/>
  <c r="E14" i="2"/>
  <c r="F14" i="2"/>
  <c r="G14" i="2"/>
  <c r="H14" i="2"/>
  <c r="I14" i="2"/>
  <c r="J14" i="2"/>
  <c r="K14" i="2"/>
  <c r="L14" i="2"/>
  <c r="M14" i="2"/>
  <c r="N14" i="2"/>
  <c r="P13" i="2"/>
  <c r="P12" i="2"/>
  <c r="P11" i="2"/>
  <c r="P10" i="2"/>
  <c r="P14" i="2" l="1"/>
</calcChain>
</file>

<file path=xl/sharedStrings.xml><?xml version="1.0" encoding="utf-8"?>
<sst xmlns="http://schemas.openxmlformats.org/spreadsheetml/2006/main" count="50" uniqueCount="28">
  <si>
    <t>S1</t>
  </si>
  <si>
    <t>S2</t>
  </si>
  <si>
    <t>S3</t>
  </si>
  <si>
    <t>S4</t>
  </si>
  <si>
    <t>D1</t>
  </si>
  <si>
    <t>D2</t>
  </si>
  <si>
    <t>D3</t>
  </si>
  <si>
    <t>D4</t>
  </si>
  <si>
    <t>D5</t>
  </si>
  <si>
    <t>N1</t>
  </si>
  <si>
    <t>N2</t>
  </si>
  <si>
    <t>N3</t>
  </si>
  <si>
    <t>N4</t>
  </si>
  <si>
    <t>N5</t>
  </si>
  <si>
    <t>B1</t>
  </si>
  <si>
    <t>B2</t>
  </si>
  <si>
    <t>B3</t>
  </si>
  <si>
    <t>B4</t>
  </si>
  <si>
    <t>DaySkill</t>
  </si>
  <si>
    <t>NightSkill</t>
  </si>
  <si>
    <t>BoatSkill</t>
  </si>
  <si>
    <t>Decision variables</t>
  </si>
  <si>
    <t>TotalAssigned</t>
  </si>
  <si>
    <t>PatrolCoverage</t>
  </si>
  <si>
    <t>Objective</t>
  </si>
  <si>
    <t>NightCoverage</t>
  </si>
  <si>
    <t>BoatCoverage</t>
  </si>
  <si>
    <t>Skill Score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</si>
</sst>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Fill="1" applyBorder="1"/>
    <xf numFmtId="0" fontId="0" fillId="0" borderId="11" xfId="0" applyFill="1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8" borderId="2" xfId="0" applyFill="1" applyBorder="1"/>
    <xf numFmtId="0" fontId="0" fillId="8" borderId="10" xfId="0" applyFill="1" applyBorder="1"/>
    <xf numFmtId="0" fontId="1" fillId="5" borderId="6" xfId="0" applyFont="1" applyFill="1" applyBorder="1"/>
    <xf numFmtId="0" fontId="0" fillId="7" borderId="8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4" borderId="3" xfId="0" applyFill="1" applyBorder="1"/>
    <xf numFmtId="0" fontId="1" fillId="5" borderId="3" xfId="0" applyFont="1" applyFill="1" applyBorder="1"/>
    <xf numFmtId="0" fontId="0" fillId="0" borderId="10" xfId="0" applyBorder="1" applyAlignment="1">
      <alignment horizontal="center"/>
    </xf>
    <xf numFmtId="0" fontId="0" fillId="9" borderId="5" xfId="0" applyFill="1" applyBorder="1"/>
    <xf numFmtId="0" fontId="0" fillId="9" borderId="7" xfId="0" applyFill="1" applyBorder="1"/>
    <xf numFmtId="0" fontId="0" fillId="0" borderId="0" xfId="0" applyFill="1" applyBorder="1"/>
    <xf numFmtId="0" fontId="0" fillId="6" borderId="9" xfId="0" applyFill="1" applyBorder="1"/>
    <xf numFmtId="0" fontId="0" fillId="6" borderId="11" xfId="0" applyFill="1" applyBorder="1"/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FE64-3B2C-4884-B12B-7FB3938AA46E}">
  <dimension ref="A1:P23"/>
  <sheetViews>
    <sheetView tabSelected="1" zoomScale="85" workbookViewId="0">
      <selection activeCell="U13" sqref="U13"/>
    </sheetView>
  </sheetViews>
  <sheetFormatPr defaultRowHeight="14.6" x14ac:dyDescent="0.4"/>
  <cols>
    <col min="1" max="1" width="17.765625" customWidth="1"/>
    <col min="16" max="16" width="18.69140625" customWidth="1"/>
  </cols>
  <sheetData>
    <row r="1" spans="1:16" ht="15" thickBot="1" x14ac:dyDescent="0.45">
      <c r="A1" s="29" t="s">
        <v>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6" x14ac:dyDescent="0.4">
      <c r="A2" s="1"/>
      <c r="B2" s="18" t="s">
        <v>4</v>
      </c>
      <c r="C2" s="18" t="s">
        <v>5</v>
      </c>
      <c r="D2" s="18" t="s">
        <v>6</v>
      </c>
      <c r="E2" s="18" t="s">
        <v>7</v>
      </c>
      <c r="F2" s="18" t="s">
        <v>8</v>
      </c>
      <c r="G2" s="19" t="s">
        <v>9</v>
      </c>
      <c r="H2" s="19" t="s">
        <v>10</v>
      </c>
      <c r="I2" s="19" t="s">
        <v>11</v>
      </c>
      <c r="J2" s="19" t="s">
        <v>12</v>
      </c>
      <c r="K2" s="19" t="s">
        <v>13</v>
      </c>
      <c r="L2" s="20" t="s">
        <v>14</v>
      </c>
      <c r="M2" s="20" t="s">
        <v>15</v>
      </c>
      <c r="N2" s="20" t="s">
        <v>16</v>
      </c>
      <c r="O2" s="21" t="s">
        <v>17</v>
      </c>
    </row>
    <row r="3" spans="1:16" x14ac:dyDescent="0.4">
      <c r="A3" s="2" t="s">
        <v>0</v>
      </c>
      <c r="B3" s="3">
        <v>3</v>
      </c>
      <c r="C3" s="3">
        <v>3</v>
      </c>
      <c r="D3" s="3">
        <v>3</v>
      </c>
      <c r="E3" s="26">
        <v>3</v>
      </c>
      <c r="F3" s="26">
        <v>3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26">
        <v>3</v>
      </c>
      <c r="M3" s="26">
        <v>3</v>
      </c>
      <c r="N3" s="26">
        <v>3</v>
      </c>
      <c r="O3" s="4">
        <v>3</v>
      </c>
    </row>
    <row r="4" spans="1:16" x14ac:dyDescent="0.4">
      <c r="A4" s="2" t="s">
        <v>1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4">
        <v>1</v>
      </c>
    </row>
    <row r="5" spans="1:16" x14ac:dyDescent="0.4">
      <c r="A5" s="2" t="s">
        <v>2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26">
        <v>3</v>
      </c>
      <c r="H5" s="26">
        <v>3</v>
      </c>
      <c r="I5" s="26">
        <v>3</v>
      </c>
      <c r="J5" s="26">
        <v>3</v>
      </c>
      <c r="K5" s="26">
        <v>3</v>
      </c>
      <c r="L5" s="26">
        <v>3</v>
      </c>
      <c r="M5" s="26">
        <v>3</v>
      </c>
      <c r="N5" s="26">
        <v>3</v>
      </c>
      <c r="O5" s="4">
        <v>3</v>
      </c>
    </row>
    <row r="6" spans="1:16" ht="15" thickBot="1" x14ac:dyDescent="0.45">
      <c r="A6" s="5" t="s">
        <v>3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1</v>
      </c>
      <c r="M6" s="6">
        <v>1</v>
      </c>
      <c r="N6" s="6">
        <v>1</v>
      </c>
      <c r="O6" s="7">
        <v>1</v>
      </c>
    </row>
    <row r="7" spans="1:16" ht="15" thickBot="1" x14ac:dyDescent="0.45"/>
    <row r="8" spans="1:16" ht="15" thickBot="1" x14ac:dyDescent="0.45">
      <c r="A8" s="8"/>
      <c r="B8" s="23" t="s">
        <v>21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12"/>
    </row>
    <row r="9" spans="1:16" x14ac:dyDescent="0.4">
      <c r="A9" s="1"/>
      <c r="B9" s="18" t="s">
        <v>4</v>
      </c>
      <c r="C9" s="18" t="s">
        <v>5</v>
      </c>
      <c r="D9" s="18" t="s">
        <v>6</v>
      </c>
      <c r="E9" s="18" t="s">
        <v>7</v>
      </c>
      <c r="F9" s="18" t="s">
        <v>8</v>
      </c>
      <c r="G9" s="19" t="s">
        <v>9</v>
      </c>
      <c r="H9" s="19" t="s">
        <v>10</v>
      </c>
      <c r="I9" s="19" t="s">
        <v>11</v>
      </c>
      <c r="J9" s="19" t="s">
        <v>12</v>
      </c>
      <c r="K9" s="19" t="s">
        <v>13</v>
      </c>
      <c r="L9" s="20" t="s">
        <v>14</v>
      </c>
      <c r="M9" s="20" t="s">
        <v>15</v>
      </c>
      <c r="N9" s="20" t="s">
        <v>16</v>
      </c>
      <c r="O9" s="20" t="s">
        <v>17</v>
      </c>
      <c r="P9" s="22" t="s">
        <v>22</v>
      </c>
    </row>
    <row r="10" spans="1:16" x14ac:dyDescent="0.4">
      <c r="A10" s="2" t="s">
        <v>0</v>
      </c>
      <c r="B10" s="3">
        <v>1</v>
      </c>
      <c r="C10" s="3">
        <v>0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1</v>
      </c>
      <c r="P10" s="24">
        <f>SUM(B10:O10)</f>
        <v>4</v>
      </c>
    </row>
    <row r="11" spans="1:16" x14ac:dyDescent="0.4">
      <c r="A11" s="2" t="s">
        <v>1</v>
      </c>
      <c r="B11" s="3">
        <v>0</v>
      </c>
      <c r="C11" s="3">
        <v>1</v>
      </c>
      <c r="D11" s="3">
        <v>1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24">
        <f>SUM(B11:O11)</f>
        <v>3</v>
      </c>
    </row>
    <row r="12" spans="1:16" x14ac:dyDescent="0.4">
      <c r="A12" s="2" t="s">
        <v>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1</v>
      </c>
      <c r="N12" s="3">
        <v>1</v>
      </c>
      <c r="O12" s="3">
        <v>0</v>
      </c>
      <c r="P12" s="24">
        <f>SUM(B12:O12)</f>
        <v>5</v>
      </c>
    </row>
    <row r="13" spans="1:16" x14ac:dyDescent="0.4">
      <c r="A13" s="2" t="s">
        <v>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  <c r="P13" s="24">
        <f>SUM(B13:O13)</f>
        <v>2</v>
      </c>
    </row>
    <row r="14" spans="1:16" ht="15" thickBot="1" x14ac:dyDescent="0.45">
      <c r="A14" s="16" t="s">
        <v>23</v>
      </c>
      <c r="B14" s="25">
        <f>SUM(B10:B13)</f>
        <v>1</v>
      </c>
      <c r="C14" s="25">
        <f>SUM(C10:C13)</f>
        <v>1</v>
      </c>
      <c r="D14" s="25">
        <f>SUM(D10:D13)</f>
        <v>1</v>
      </c>
      <c r="E14" s="25">
        <f>SUM(E10:E13)</f>
        <v>1</v>
      </c>
      <c r="F14" s="25">
        <f>SUM(F10:F13)</f>
        <v>1</v>
      </c>
      <c r="G14" s="25">
        <f>SUM(G10:G13)</f>
        <v>1</v>
      </c>
      <c r="H14" s="25">
        <f>SUM(H10:H13)</f>
        <v>1</v>
      </c>
      <c r="I14" s="25">
        <f>SUM(I10:I13)</f>
        <v>1</v>
      </c>
      <c r="J14" s="25">
        <f>SUM(J10:J13)</f>
        <v>1</v>
      </c>
      <c r="K14" s="25">
        <f>SUM(K10:K13)</f>
        <v>1</v>
      </c>
      <c r="L14" s="25">
        <f>SUM(L10:L13)</f>
        <v>1</v>
      </c>
      <c r="M14" s="25">
        <f>SUM(M10:M13)</f>
        <v>1</v>
      </c>
      <c r="N14" s="25">
        <f>SUM(N10:N13)</f>
        <v>1</v>
      </c>
      <c r="O14" s="25">
        <f>SUM(O10:O13)</f>
        <v>1</v>
      </c>
      <c r="P14" s="17">
        <f>SUM(P10:P13)</f>
        <v>14</v>
      </c>
    </row>
    <row r="15" spans="1:16" ht="15" thickBot="1" x14ac:dyDescent="0.45"/>
    <row r="16" spans="1:16" ht="15" thickBot="1" x14ac:dyDescent="0.45">
      <c r="A16" s="1" t="s">
        <v>25</v>
      </c>
      <c r="B16" s="13"/>
      <c r="C16" s="13"/>
      <c r="D16" s="13"/>
      <c r="E16" s="13"/>
      <c r="F16" s="13"/>
      <c r="G16" s="14">
        <f t="shared" ref="G16:K16" si="0">SUM(G10:G13)</f>
        <v>1</v>
      </c>
      <c r="H16" s="14">
        <f t="shared" si="0"/>
        <v>1</v>
      </c>
      <c r="I16" s="14">
        <f t="shared" si="0"/>
        <v>1</v>
      </c>
      <c r="J16" s="14">
        <f t="shared" si="0"/>
        <v>1</v>
      </c>
      <c r="K16" s="14">
        <f t="shared" si="0"/>
        <v>1</v>
      </c>
    </row>
    <row r="17" spans="1:15" ht="15" thickBot="1" x14ac:dyDescent="0.45">
      <c r="A17" s="8" t="s">
        <v>26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5">
        <f t="shared" ref="L17:O17" si="1">SUM(L10:L13)</f>
        <v>1</v>
      </c>
      <c r="M17" s="15">
        <f t="shared" si="1"/>
        <v>1</v>
      </c>
      <c r="N17" s="15">
        <f t="shared" si="1"/>
        <v>1</v>
      </c>
      <c r="O17" s="15">
        <f t="shared" si="1"/>
        <v>1</v>
      </c>
    </row>
    <row r="18" spans="1:15" ht="15" thickBot="1" x14ac:dyDescent="0.45"/>
    <row r="19" spans="1:15" ht="15" thickBot="1" x14ac:dyDescent="0.45">
      <c r="A19" s="27" t="s">
        <v>24</v>
      </c>
      <c r="B19" s="28">
        <f>SUMPRODUCT(B3:O6,B10:O13)</f>
        <v>42</v>
      </c>
      <c r="F19" s="8"/>
      <c r="G19" s="9" t="s">
        <v>18</v>
      </c>
      <c r="H19" s="9" t="s">
        <v>19</v>
      </c>
      <c r="I19" s="10" t="s">
        <v>20</v>
      </c>
    </row>
    <row r="20" spans="1:15" x14ac:dyDescent="0.4">
      <c r="F20" s="2" t="s">
        <v>0</v>
      </c>
      <c r="G20" s="3">
        <v>1</v>
      </c>
      <c r="H20" s="3">
        <v>0</v>
      </c>
      <c r="I20" s="4">
        <v>1</v>
      </c>
    </row>
    <row r="21" spans="1:15" x14ac:dyDescent="0.4">
      <c r="F21" s="2" t="s">
        <v>1</v>
      </c>
      <c r="G21" s="3">
        <v>1</v>
      </c>
      <c r="H21" s="3">
        <v>0</v>
      </c>
      <c r="I21" s="4">
        <v>0</v>
      </c>
    </row>
    <row r="22" spans="1:15" x14ac:dyDescent="0.4">
      <c r="F22" s="2" t="s">
        <v>2</v>
      </c>
      <c r="G22" s="3">
        <v>0</v>
      </c>
      <c r="H22" s="3">
        <v>1</v>
      </c>
      <c r="I22" s="4">
        <v>1</v>
      </c>
    </row>
    <row r="23" spans="1:15" ht="15" thickBot="1" x14ac:dyDescent="0.45">
      <c r="F23" s="5" t="s">
        <v>3</v>
      </c>
      <c r="G23" s="6">
        <v>0</v>
      </c>
      <c r="H23" s="6">
        <v>1</v>
      </c>
      <c r="I23" s="7">
        <v>0</v>
      </c>
    </row>
  </sheetData>
  <mergeCells count="2">
    <mergeCell ref="B8:O8"/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Nisitha Nimsara</dc:creator>
  <cp:lastModifiedBy>Nisitha 20240281</cp:lastModifiedBy>
  <dcterms:created xsi:type="dcterms:W3CDTF">2015-06-05T18:17:20Z</dcterms:created>
  <dcterms:modified xsi:type="dcterms:W3CDTF">2026-03-27T22:38:19Z</dcterms:modified>
</cp:coreProperties>
</file>